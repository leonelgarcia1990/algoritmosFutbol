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garthww-my.sharepoint.com/personal/leonel_garcia_hogarth_com/Documents/_UADE/2do Cuatri/2_MIER_Progra/2do_Parte/2daETAPA_TP/"/>
    </mc:Choice>
  </mc:AlternateContent>
  <xr:revisionPtr revIDLastSave="236" documentId="8_{C2FEF15B-3475-4F49-88BB-6506F6237535}" xr6:coauthVersionLast="47" xr6:coauthVersionMax="47" xr10:uidLastSave="{01D8AF6C-4C3C-D249-B860-64841A578815}"/>
  <bookViews>
    <workbookView xWindow="0" yWindow="500" windowWidth="38400" windowHeight="21100" activeTab="1" xr2:uid="{28D2DA53-3216-7D46-BCBC-AC9A2A7B639B}"/>
  </bookViews>
  <sheets>
    <sheet name="Datos" sheetId="3" r:id="rId1"/>
    <sheet name="Dashboard" sheetId="2" r:id="rId2"/>
  </sheets>
  <definedNames>
    <definedName name="estadisticas_1" localSheetId="0">Datos!$A$1:$B$55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2" l="1"/>
  <c r="T4" i="2"/>
  <c r="P5" i="2"/>
  <c r="P4" i="2"/>
  <c r="L9" i="2"/>
  <c r="L8" i="2"/>
  <c r="L5" i="2"/>
  <c r="L4" i="2"/>
  <c r="G9" i="2"/>
  <c r="G8" i="2"/>
  <c r="G4" i="2"/>
  <c r="G5" i="2"/>
  <c r="B9" i="2"/>
  <c r="B8" i="2"/>
  <c r="B5" i="2"/>
  <c r="B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B66E35-3F8B-C043-AE71-A43B0363719F}" name="estadisticas1" type="6" refreshedVersion="8" background="1" saveData="1">
    <textPr sourceFile="/Users/leonelgarcia/Library/CloudStorage/OneDrive-HogarthWorldwide/_UADE/2do Cuatri/2_MIER_Progra/2do_Parte/2daETAPA_TP/estadisticas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<sst xmlns="http://schemas.openxmlformats.org/spreadsheetml/2006/main" count="40" uniqueCount="37">
  <si>
    <t>ESTADISTICAS GENERALES</t>
  </si>
  <si>
    <t>Estadistica</t>
  </si>
  <si>
    <t>Valor</t>
  </si>
  <si>
    <t>Equipo con mas goles a favor</t>
  </si>
  <si>
    <t>Lanus</t>
  </si>
  <si>
    <t>Cantidad de goles a favor</t>
  </si>
  <si>
    <t>Equipo con menos goles en contra</t>
  </si>
  <si>
    <t>San Lorenzo</t>
  </si>
  <si>
    <t>Cantidad de goles en contra</t>
  </si>
  <si>
    <t>Equipo con mejor diferencia de gol</t>
  </si>
  <si>
    <t>Diferencia de gol</t>
  </si>
  <si>
    <t>Partido con mas goles totales</t>
  </si>
  <si>
    <t>Maximo de goles de un equipo</t>
  </si>
  <si>
    <t>GOLES POR EQUIPO</t>
  </si>
  <si>
    <t>Equipo</t>
  </si>
  <si>
    <t>Goles_Favor</t>
  </si>
  <si>
    <t>Boca Juniors</t>
  </si>
  <si>
    <t>Platense</t>
  </si>
  <si>
    <t>River Plate</t>
  </si>
  <si>
    <t>Arsenal</t>
  </si>
  <si>
    <t>Racing Club</t>
  </si>
  <si>
    <t>Godoy Cruz</t>
  </si>
  <si>
    <t>Independiente</t>
  </si>
  <si>
    <t>Union</t>
  </si>
  <si>
    <t>Colon</t>
  </si>
  <si>
    <t>Estudiantes</t>
  </si>
  <si>
    <t>Huracan</t>
  </si>
  <si>
    <t>Velez Varsfield</t>
  </si>
  <si>
    <t>Argentinos Juniors</t>
  </si>
  <si>
    <t>Banfield</t>
  </si>
  <si>
    <t>Rosario Central</t>
  </si>
  <si>
    <t>Talleres</t>
  </si>
  <si>
    <t>Newells Old Boys</t>
  </si>
  <si>
    <t>Gimnasia La Plata</t>
  </si>
  <si>
    <t>GOLES POR FECHA</t>
  </si>
  <si>
    <t>Fecha</t>
  </si>
  <si>
    <t>Total_Goles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</si>
</sst>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26"/>
      <color theme="1"/>
      <name val="Aptos Narrow"/>
      <scheme val="minor"/>
    </font>
    <font>
      <b/>
      <sz val="48"/>
      <color theme="1"/>
      <name val="Aptos Narrow"/>
      <scheme val="minor"/>
    </font>
    <font>
      <sz val="4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Datos!$B$13</c:f>
              <c:strCache>
                <c:ptCount val="1"/>
                <c:pt idx="0">
                  <c:v>Goles_Favor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Datos!$A$14:$A$33</c:f>
              <c:strCache>
                <c:ptCount val="20"/>
                <c:pt idx="0">
                  <c:v>Boca Juniors</c:v>
                </c:pt>
                <c:pt idx="1">
                  <c:v>Platense</c:v>
                </c:pt>
                <c:pt idx="2">
                  <c:v>River Plate</c:v>
                </c:pt>
                <c:pt idx="3">
                  <c:v>Arsenal</c:v>
                </c:pt>
                <c:pt idx="4">
                  <c:v>Racing Club</c:v>
                </c:pt>
                <c:pt idx="5">
                  <c:v>Godoy Cruz</c:v>
                </c:pt>
                <c:pt idx="6">
                  <c:v>Independiente</c:v>
                </c:pt>
                <c:pt idx="7">
                  <c:v>Union</c:v>
                </c:pt>
                <c:pt idx="8">
                  <c:v>San Lorenzo</c:v>
                </c:pt>
                <c:pt idx="9">
                  <c:v>Colon</c:v>
                </c:pt>
                <c:pt idx="10">
                  <c:v>Estudiantes</c:v>
                </c:pt>
                <c:pt idx="11">
                  <c:v>Huracan</c:v>
                </c:pt>
                <c:pt idx="12">
                  <c:v>Velez Varsfield</c:v>
                </c:pt>
                <c:pt idx="13">
                  <c:v>Lanus</c:v>
                </c:pt>
                <c:pt idx="14">
                  <c:v>Argentinos Juniors</c:v>
                </c:pt>
                <c:pt idx="15">
                  <c:v>Banfield</c:v>
                </c:pt>
                <c:pt idx="16">
                  <c:v>Rosario Central</c:v>
                </c:pt>
                <c:pt idx="17">
                  <c:v>Talleres</c:v>
                </c:pt>
                <c:pt idx="18">
                  <c:v>Newells Old Boys</c:v>
                </c:pt>
                <c:pt idx="19">
                  <c:v>Gimnasia La Plata</c:v>
                </c:pt>
              </c:strCache>
            </c:strRef>
          </c:cat>
          <c:val>
            <c:numRef>
              <c:f>Datos!$B$14:$B$33</c:f>
              <c:numCache>
                <c:formatCode>General</c:formatCode>
                <c:ptCount val="20"/>
                <c:pt idx="0">
                  <c:v>41</c:v>
                </c:pt>
                <c:pt idx="1">
                  <c:v>42</c:v>
                </c:pt>
                <c:pt idx="2">
                  <c:v>48</c:v>
                </c:pt>
                <c:pt idx="3">
                  <c:v>45</c:v>
                </c:pt>
                <c:pt idx="4">
                  <c:v>48</c:v>
                </c:pt>
                <c:pt idx="5">
                  <c:v>44</c:v>
                </c:pt>
                <c:pt idx="6">
                  <c:v>45</c:v>
                </c:pt>
                <c:pt idx="7">
                  <c:v>44</c:v>
                </c:pt>
                <c:pt idx="8">
                  <c:v>49</c:v>
                </c:pt>
                <c:pt idx="9">
                  <c:v>51</c:v>
                </c:pt>
                <c:pt idx="10">
                  <c:v>35</c:v>
                </c:pt>
                <c:pt idx="11">
                  <c:v>51</c:v>
                </c:pt>
                <c:pt idx="12">
                  <c:v>37</c:v>
                </c:pt>
                <c:pt idx="13">
                  <c:v>51</c:v>
                </c:pt>
                <c:pt idx="14">
                  <c:v>58</c:v>
                </c:pt>
                <c:pt idx="15">
                  <c:v>45</c:v>
                </c:pt>
                <c:pt idx="16">
                  <c:v>55</c:v>
                </c:pt>
                <c:pt idx="17">
                  <c:v>58</c:v>
                </c:pt>
                <c:pt idx="18">
                  <c:v>45</c:v>
                </c:pt>
                <c:pt idx="1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7-5644-93C7-FFC369F14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6315359"/>
        <c:axId val="697185343"/>
      </c:barChart>
      <c:catAx>
        <c:axId val="69631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185343"/>
        <c:crosses val="autoZero"/>
        <c:auto val="1"/>
        <c:lblAlgn val="ctr"/>
        <c:lblOffset val="100"/>
        <c:noMultiLvlLbl val="0"/>
      </c:catAx>
      <c:valAx>
        <c:axId val="697185343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15359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Datos!$B$36</c:f>
              <c:strCache>
                <c:ptCount val="1"/>
                <c:pt idx="0">
                  <c:v>Total_Goles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Datos!$B$37:$B$55</c:f>
              <c:numCache>
                <c:formatCode>General</c:formatCode>
                <c:ptCount val="19"/>
                <c:pt idx="0">
                  <c:v>49</c:v>
                </c:pt>
                <c:pt idx="1">
                  <c:v>43</c:v>
                </c:pt>
                <c:pt idx="2">
                  <c:v>51</c:v>
                </c:pt>
                <c:pt idx="3">
                  <c:v>49</c:v>
                </c:pt>
                <c:pt idx="4">
                  <c:v>37</c:v>
                </c:pt>
                <c:pt idx="5">
                  <c:v>45</c:v>
                </c:pt>
                <c:pt idx="6">
                  <c:v>57</c:v>
                </c:pt>
                <c:pt idx="7">
                  <c:v>54</c:v>
                </c:pt>
                <c:pt idx="8">
                  <c:v>48</c:v>
                </c:pt>
                <c:pt idx="9">
                  <c:v>48</c:v>
                </c:pt>
                <c:pt idx="10">
                  <c:v>42</c:v>
                </c:pt>
                <c:pt idx="11">
                  <c:v>36</c:v>
                </c:pt>
                <c:pt idx="12">
                  <c:v>42</c:v>
                </c:pt>
                <c:pt idx="13">
                  <c:v>56</c:v>
                </c:pt>
                <c:pt idx="14">
                  <c:v>59</c:v>
                </c:pt>
                <c:pt idx="15">
                  <c:v>66</c:v>
                </c:pt>
                <c:pt idx="16">
                  <c:v>48</c:v>
                </c:pt>
                <c:pt idx="17">
                  <c:v>49</c:v>
                </c:pt>
                <c:pt idx="1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8-034B-81DF-0D6505F7A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72271"/>
        <c:axId val="207223919"/>
      </c:barChart>
      <c:catAx>
        <c:axId val="207072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23919"/>
        <c:crosses val="autoZero"/>
        <c:auto val="1"/>
        <c:lblAlgn val="ctr"/>
        <c:lblOffset val="100"/>
        <c:noMultiLvlLbl val="0"/>
      </c:catAx>
      <c:valAx>
        <c:axId val="20722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7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296332</xdr:colOff>
      <xdr:row>13</xdr:row>
      <xdr:rowOff>190501</xdr:rowOff>
    </xdr:from>
    <xdr:to>
      <xdr:col>7</xdr:col>
      <xdr:colOff>2772832</xdr:colOff>
      <xdr:row>61</xdr:row>
      <xdr:rowOff>63501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AAACCF-9EDE-A141-9ADA-5113512F3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21166</xdr:colOff>
      <xdr:row>17</xdr:row>
      <xdr:rowOff>190499</xdr:rowOff>
    </xdr:from>
    <xdr:to>
      <xdr:col>21</xdr:col>
      <xdr:colOff>402166</xdr:colOff>
      <xdr:row>53</xdr:row>
      <xdr:rowOff>42334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4C07F1-35FE-1546-AB30-C253F0B38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stadisticas_1" connectionId="1" xr16:uid="{ED854B85-BEBA-DB4F-A59D-1F6316172B6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E5ED-BCBC-1541-AD49-B3F4125AEF75}">
  <dimension ref="A1:B55"/>
  <sheetViews>
    <sheetView topLeftCell="A10" workbookViewId="0">
      <selection activeCell="B36" sqref="B36:B55"/>
    </sheetView>
  </sheetViews>
  <sheetFormatPr baseColWidth="10" defaultRowHeight="16" x14ac:dyDescent="0.2"/>
  <cols>
    <col min="1" max="1" width="29" bestFit="1" customWidth="1"/>
    <col min="2" max="2" width="15.664062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28</v>
      </c>
    </row>
    <row r="4" spans="1:2" x14ac:dyDescent="0.2">
      <c r="A4" t="s">
        <v>5</v>
      </c>
      <c r="B4">
        <v>58</v>
      </c>
    </row>
    <row r="5" spans="1:2" x14ac:dyDescent="0.2">
      <c r="A5" t="s">
        <v>6</v>
      </c>
      <c r="B5" t="s">
        <v>17</v>
      </c>
    </row>
    <row r="6" spans="1:2" x14ac:dyDescent="0.2">
      <c r="A6" t="s">
        <v>8</v>
      </c>
      <c r="B6">
        <v>33</v>
      </c>
    </row>
    <row r="7" spans="1:2" x14ac:dyDescent="0.2">
      <c r="A7" t="s">
        <v>9</v>
      </c>
      <c r="B7" t="s">
        <v>31</v>
      </c>
    </row>
    <row r="8" spans="1:2" x14ac:dyDescent="0.2">
      <c r="A8" t="s">
        <v>10</v>
      </c>
      <c r="B8">
        <v>22</v>
      </c>
    </row>
    <row r="9" spans="1:2" x14ac:dyDescent="0.2">
      <c r="A9" t="s">
        <v>11</v>
      </c>
      <c r="B9">
        <v>10</v>
      </c>
    </row>
    <row r="10" spans="1:2" x14ac:dyDescent="0.2">
      <c r="A10" t="s">
        <v>12</v>
      </c>
      <c r="B10">
        <v>5</v>
      </c>
    </row>
    <row r="12" spans="1:2" x14ac:dyDescent="0.2">
      <c r="A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A14" t="s">
        <v>16</v>
      </c>
      <c r="B14">
        <v>41</v>
      </c>
    </row>
    <row r="15" spans="1:2" x14ac:dyDescent="0.2">
      <c r="A15" t="s">
        <v>17</v>
      </c>
      <c r="B15">
        <v>42</v>
      </c>
    </row>
    <row r="16" spans="1:2" x14ac:dyDescent="0.2">
      <c r="A16" t="s">
        <v>18</v>
      </c>
      <c r="B16">
        <v>48</v>
      </c>
    </row>
    <row r="17" spans="1:2" x14ac:dyDescent="0.2">
      <c r="A17" t="s">
        <v>19</v>
      </c>
      <c r="B17">
        <v>45</v>
      </c>
    </row>
    <row r="18" spans="1:2" x14ac:dyDescent="0.2">
      <c r="A18" t="s">
        <v>20</v>
      </c>
      <c r="B18">
        <v>48</v>
      </c>
    </row>
    <row r="19" spans="1:2" x14ac:dyDescent="0.2">
      <c r="A19" t="s">
        <v>21</v>
      </c>
      <c r="B19">
        <v>44</v>
      </c>
    </row>
    <row r="20" spans="1:2" x14ac:dyDescent="0.2">
      <c r="A20" t="s">
        <v>22</v>
      </c>
      <c r="B20">
        <v>45</v>
      </c>
    </row>
    <row r="21" spans="1:2" x14ac:dyDescent="0.2">
      <c r="A21" t="s">
        <v>23</v>
      </c>
      <c r="B21">
        <v>44</v>
      </c>
    </row>
    <row r="22" spans="1:2" x14ac:dyDescent="0.2">
      <c r="A22" t="s">
        <v>7</v>
      </c>
      <c r="B22">
        <v>49</v>
      </c>
    </row>
    <row r="23" spans="1:2" x14ac:dyDescent="0.2">
      <c r="A23" t="s">
        <v>24</v>
      </c>
      <c r="B23">
        <v>51</v>
      </c>
    </row>
    <row r="24" spans="1:2" x14ac:dyDescent="0.2">
      <c r="A24" t="s">
        <v>25</v>
      </c>
      <c r="B24">
        <v>35</v>
      </c>
    </row>
    <row r="25" spans="1:2" x14ac:dyDescent="0.2">
      <c r="A25" t="s">
        <v>26</v>
      </c>
      <c r="B25">
        <v>51</v>
      </c>
    </row>
    <row r="26" spans="1:2" x14ac:dyDescent="0.2">
      <c r="A26" t="s">
        <v>27</v>
      </c>
      <c r="B26">
        <v>37</v>
      </c>
    </row>
    <row r="27" spans="1:2" x14ac:dyDescent="0.2">
      <c r="A27" t="s">
        <v>4</v>
      </c>
      <c r="B27">
        <v>51</v>
      </c>
    </row>
    <row r="28" spans="1:2" x14ac:dyDescent="0.2">
      <c r="A28" t="s">
        <v>28</v>
      </c>
      <c r="B28">
        <v>58</v>
      </c>
    </row>
    <row r="29" spans="1:2" x14ac:dyDescent="0.2">
      <c r="A29" t="s">
        <v>29</v>
      </c>
      <c r="B29">
        <v>45</v>
      </c>
    </row>
    <row r="30" spans="1:2" x14ac:dyDescent="0.2">
      <c r="A30" t="s">
        <v>30</v>
      </c>
      <c r="B30">
        <v>55</v>
      </c>
    </row>
    <row r="31" spans="1:2" x14ac:dyDescent="0.2">
      <c r="A31" t="s">
        <v>31</v>
      </c>
      <c r="B31">
        <v>58</v>
      </c>
    </row>
    <row r="32" spans="1:2" x14ac:dyDescent="0.2">
      <c r="A32" t="s">
        <v>32</v>
      </c>
      <c r="B32">
        <v>45</v>
      </c>
    </row>
    <row r="33" spans="1:2" x14ac:dyDescent="0.2">
      <c r="A33" t="s">
        <v>33</v>
      </c>
      <c r="B33">
        <v>39</v>
      </c>
    </row>
    <row r="35" spans="1:2" x14ac:dyDescent="0.2">
      <c r="A35" t="s">
        <v>34</v>
      </c>
    </row>
    <row r="36" spans="1:2" x14ac:dyDescent="0.2">
      <c r="A36" t="s">
        <v>35</v>
      </c>
      <c r="B36" t="s">
        <v>36</v>
      </c>
    </row>
    <row r="37" spans="1:2" x14ac:dyDescent="0.2">
      <c r="A37">
        <v>1</v>
      </c>
      <c r="B37">
        <v>49</v>
      </c>
    </row>
    <row r="38" spans="1:2" x14ac:dyDescent="0.2">
      <c r="A38">
        <v>2</v>
      </c>
      <c r="B38">
        <v>43</v>
      </c>
    </row>
    <row r="39" spans="1:2" x14ac:dyDescent="0.2">
      <c r="A39">
        <v>3</v>
      </c>
      <c r="B39">
        <v>51</v>
      </c>
    </row>
    <row r="40" spans="1:2" x14ac:dyDescent="0.2">
      <c r="A40">
        <v>4</v>
      </c>
      <c r="B40">
        <v>49</v>
      </c>
    </row>
    <row r="41" spans="1:2" x14ac:dyDescent="0.2">
      <c r="A41">
        <v>5</v>
      </c>
      <c r="B41">
        <v>37</v>
      </c>
    </row>
    <row r="42" spans="1:2" x14ac:dyDescent="0.2">
      <c r="A42">
        <v>6</v>
      </c>
      <c r="B42">
        <v>45</v>
      </c>
    </row>
    <row r="43" spans="1:2" x14ac:dyDescent="0.2">
      <c r="A43">
        <v>7</v>
      </c>
      <c r="B43">
        <v>57</v>
      </c>
    </row>
    <row r="44" spans="1:2" x14ac:dyDescent="0.2">
      <c r="A44">
        <v>8</v>
      </c>
      <c r="B44">
        <v>54</v>
      </c>
    </row>
    <row r="45" spans="1:2" x14ac:dyDescent="0.2">
      <c r="A45">
        <v>9</v>
      </c>
      <c r="B45">
        <v>48</v>
      </c>
    </row>
    <row r="46" spans="1:2" x14ac:dyDescent="0.2">
      <c r="A46">
        <v>10</v>
      </c>
      <c r="B46">
        <v>48</v>
      </c>
    </row>
    <row r="47" spans="1:2" x14ac:dyDescent="0.2">
      <c r="A47">
        <v>11</v>
      </c>
      <c r="B47">
        <v>42</v>
      </c>
    </row>
    <row r="48" spans="1:2" x14ac:dyDescent="0.2">
      <c r="A48">
        <v>12</v>
      </c>
      <c r="B48">
        <v>36</v>
      </c>
    </row>
    <row r="49" spans="1:2" x14ac:dyDescent="0.2">
      <c r="A49">
        <v>13</v>
      </c>
      <c r="B49">
        <v>42</v>
      </c>
    </row>
    <row r="50" spans="1:2" x14ac:dyDescent="0.2">
      <c r="A50">
        <v>14</v>
      </c>
      <c r="B50">
        <v>56</v>
      </c>
    </row>
    <row r="51" spans="1:2" x14ac:dyDescent="0.2">
      <c r="A51">
        <v>15</v>
      </c>
      <c r="B51">
        <v>59</v>
      </c>
    </row>
    <row r="52" spans="1:2" x14ac:dyDescent="0.2">
      <c r="A52">
        <v>16</v>
      </c>
      <c r="B52">
        <v>66</v>
      </c>
    </row>
    <row r="53" spans="1:2" x14ac:dyDescent="0.2">
      <c r="A53">
        <v>17</v>
      </c>
      <c r="B53">
        <v>48</v>
      </c>
    </row>
    <row r="54" spans="1:2" x14ac:dyDescent="0.2">
      <c r="A54">
        <v>18</v>
      </c>
      <c r="B54">
        <v>49</v>
      </c>
    </row>
    <row r="55" spans="1:2" x14ac:dyDescent="0.2">
      <c r="A55">
        <v>19</v>
      </c>
      <c r="B55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D9A4-DEC2-7C4B-80A0-008D2C6220AC}">
  <dimension ref="B3:V9"/>
  <sheetViews>
    <sheetView showGridLines="0" tabSelected="1" topLeftCell="A9" zoomScale="60" zoomScaleNormal="60" workbookViewId="0">
      <selection activeCell="X19" sqref="X19"/>
    </sheetView>
  </sheetViews>
  <sheetFormatPr baseColWidth="10" defaultRowHeight="16" x14ac:dyDescent="0.2"/>
  <cols>
    <col min="1" max="2" width="10.83203125" style="1"/>
    <col min="3" max="3" width="43.1640625" style="1" customWidth="1"/>
    <col min="4" max="7" width="10.83203125" style="1"/>
    <col min="8" max="8" width="39.83203125" style="1" customWidth="1"/>
    <col min="9" max="9" width="12.83203125" style="1" customWidth="1"/>
    <col min="10" max="12" width="10.83203125" style="1"/>
    <col min="13" max="13" width="42.5" style="1" customWidth="1"/>
    <col min="14" max="16" width="10.83203125" style="1"/>
    <col min="17" max="17" width="33.83203125" style="1" customWidth="1"/>
    <col min="18" max="18" width="10.83203125" style="1"/>
    <col min="19" max="19" width="12.33203125" style="1" customWidth="1"/>
    <col min="20" max="20" width="10.83203125" style="1"/>
    <col min="21" max="21" width="34.6640625" style="1" customWidth="1"/>
    <col min="22" max="16384" width="10.83203125" style="1"/>
  </cols>
  <sheetData>
    <row r="3" spans="2:22" ht="17" thickBot="1" x14ac:dyDescent="0.25"/>
    <row r="4" spans="2:22" ht="40" customHeight="1" x14ac:dyDescent="0.2">
      <c r="B4" s="5" t="str">
        <f>Datos!$A$3</f>
        <v>Equipo con mas goles a favor</v>
      </c>
      <c r="C4" s="6"/>
      <c r="D4" s="7"/>
      <c r="G4" s="5" t="str">
        <f>Datos!$A$5</f>
        <v>Equipo con menos goles en contra</v>
      </c>
      <c r="H4" s="6"/>
      <c r="I4" s="7"/>
      <c r="L4" s="5" t="str">
        <f>Datos!$A$7</f>
        <v>Equipo con mejor diferencia de gol</v>
      </c>
      <c r="M4" s="6"/>
      <c r="N4" s="7"/>
      <c r="P4" s="5" t="str">
        <f>Datos!$A$9</f>
        <v>Partido con mas goles totales</v>
      </c>
      <c r="Q4" s="6"/>
      <c r="R4" s="7"/>
      <c r="T4" s="5" t="str">
        <f>Datos!$A$10</f>
        <v>Maximo de goles de un equipo</v>
      </c>
      <c r="U4" s="6"/>
      <c r="V4" s="7"/>
    </row>
    <row r="5" spans="2:22" ht="90" customHeight="1" thickBot="1" x14ac:dyDescent="0.8">
      <c r="B5" s="2" t="str">
        <f>Datos!$B$3</f>
        <v>Argentinos Juniors</v>
      </c>
      <c r="C5" s="3"/>
      <c r="D5" s="4"/>
      <c r="E5" s="8"/>
      <c r="F5" s="8"/>
      <c r="G5" s="2" t="str">
        <f>Datos!$B$5</f>
        <v>Platense</v>
      </c>
      <c r="H5" s="3"/>
      <c r="I5" s="4"/>
      <c r="J5" s="8"/>
      <c r="K5" s="8"/>
      <c r="L5" s="2" t="str">
        <f>Datos!$B$7</f>
        <v>Talleres</v>
      </c>
      <c r="M5" s="3"/>
      <c r="N5" s="4"/>
      <c r="O5" s="8"/>
      <c r="P5" s="2">
        <f>Datos!$B$9</f>
        <v>10</v>
      </c>
      <c r="Q5" s="3"/>
      <c r="R5" s="4"/>
      <c r="S5" s="8"/>
      <c r="T5" s="2">
        <f>Datos!$B$10</f>
        <v>5</v>
      </c>
      <c r="U5" s="3"/>
      <c r="V5" s="4"/>
    </row>
    <row r="7" spans="2:22" ht="17" thickBot="1" x14ac:dyDescent="0.25"/>
    <row r="8" spans="2:22" ht="40" customHeight="1" x14ac:dyDescent="0.2">
      <c r="B8" s="5" t="str">
        <f>Datos!$A$4</f>
        <v>Cantidad de goles a favor</v>
      </c>
      <c r="C8" s="6"/>
      <c r="D8" s="7"/>
      <c r="G8" s="5" t="str">
        <f>Datos!$A$6</f>
        <v>Cantidad de goles en contra</v>
      </c>
      <c r="H8" s="6"/>
      <c r="I8" s="7"/>
      <c r="L8" s="5" t="str">
        <f>Datos!$A$8</f>
        <v>Diferencia de gol</v>
      </c>
      <c r="M8" s="6"/>
      <c r="N8" s="7"/>
    </row>
    <row r="9" spans="2:22" ht="90" customHeight="1" thickBot="1" x14ac:dyDescent="0.8">
      <c r="B9" s="2">
        <f>Datos!$B$4</f>
        <v>58</v>
      </c>
      <c r="C9" s="3"/>
      <c r="D9" s="4"/>
      <c r="E9" s="8"/>
      <c r="F9" s="8"/>
      <c r="G9" s="2">
        <f>Datos!$B$6</f>
        <v>33</v>
      </c>
      <c r="H9" s="3"/>
      <c r="I9" s="4"/>
      <c r="J9" s="8"/>
      <c r="K9" s="8"/>
      <c r="L9" s="2">
        <f>Datos!$B$8</f>
        <v>22</v>
      </c>
      <c r="M9" s="3"/>
      <c r="N9" s="4"/>
    </row>
  </sheetData>
  <mergeCells count="16">
    <mergeCell ref="B9:D9"/>
    <mergeCell ref="G5:I5"/>
    <mergeCell ref="G9:I9"/>
    <mergeCell ref="L5:N5"/>
    <mergeCell ref="L9:N9"/>
    <mergeCell ref="P4:R4"/>
    <mergeCell ref="T4:V4"/>
    <mergeCell ref="B8:D8"/>
    <mergeCell ref="B4:D4"/>
    <mergeCell ref="G4:I4"/>
    <mergeCell ref="L4:N4"/>
    <mergeCell ref="G8:I8"/>
    <mergeCell ref="L8:N8"/>
    <mergeCell ref="B5:D5"/>
    <mergeCell ref="P5:R5"/>
    <mergeCell ref="T5:V5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Datos</vt:lpstr>
      <vt:lpstr>Dashboard</vt:lpstr>
      <vt:lpstr>Datos!estadisticas_1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Garcia</dc:creator>
  <cp:lastModifiedBy>Leonel Garcia</cp:lastModifiedBy>
  <dcterms:created xsi:type="dcterms:W3CDTF">2025-11-03T01:53:00Z</dcterms:created>
  <dcterms:modified xsi:type="dcterms:W3CDTF">2025-11-03T02:24:38Z</dcterms:modified>
</cp:coreProperties>
</file>